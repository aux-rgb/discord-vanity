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Custom Office Templates\"/>
    </mc:Choice>
  </mc:AlternateContent>
  <xr:revisionPtr revIDLastSave="0" documentId="8_{9B2B2796-D79C-49F8-8462-65649649E84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Sheet1!$E$2:$F$4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7" i="1"/>
  <c r="C8" i="1"/>
  <c r="E3" i="1"/>
  <c r="F8" i="1"/>
  <c r="F7" i="1"/>
  <c r="F6" i="1"/>
  <c r="F5" i="1"/>
  <c r="C13" i="1"/>
  <c r="I15" i="1"/>
  <c r="I18" i="1"/>
  <c r="I10" i="1"/>
  <c r="N18" i="1"/>
  <c r="I16" i="1"/>
  <c r="N16" i="1"/>
  <c r="I9" i="1"/>
  <c r="M18" i="1"/>
  <c r="M16" i="1"/>
  <c r="I8" i="1"/>
  <c r="L18" i="1"/>
  <c r="L16" i="1"/>
  <c r="I7" i="1"/>
  <c r="K18" i="1"/>
  <c r="K16" i="1"/>
  <c r="I6" i="1"/>
  <c r="J18" i="1"/>
  <c r="J16" i="1"/>
  <c r="I14" i="1"/>
  <c r="L10" i="1"/>
  <c r="L9" i="1"/>
  <c r="L8" i="1"/>
  <c r="L7" i="1"/>
  <c r="L6" i="1"/>
  <c r="I13" i="1"/>
  <c r="K10" i="1"/>
  <c r="K9" i="1"/>
  <c r="K8" i="1"/>
  <c r="K7" i="1"/>
  <c r="K6" i="1"/>
  <c r="I12" i="1"/>
  <c r="J10" i="1"/>
  <c r="J9" i="1"/>
  <c r="J8" i="1"/>
  <c r="J7" i="1"/>
  <c r="J6" i="1"/>
</calcChain>
</file>

<file path=xl/sharedStrings.xml><?xml version="1.0" encoding="utf-8"?>
<sst xmlns="http://schemas.openxmlformats.org/spreadsheetml/2006/main" count="49" uniqueCount="46">
  <si>
    <t>Money Tracking</t>
  </si>
  <si>
    <t>Cash</t>
  </si>
  <si>
    <t>GCash</t>
  </si>
  <si>
    <t>PayPal</t>
  </si>
  <si>
    <t>Total</t>
  </si>
  <si>
    <t>Monthly Income</t>
  </si>
  <si>
    <t>Salary</t>
  </si>
  <si>
    <t>Discord</t>
  </si>
  <si>
    <t>Spotify</t>
  </si>
  <si>
    <t>Monthly Expenses</t>
  </si>
  <si>
    <t>Subtotal</t>
  </si>
  <si>
    <t>Karuta</t>
  </si>
  <si>
    <t>Php</t>
  </si>
  <si>
    <t>$</t>
  </si>
  <si>
    <t>ROI</t>
  </si>
  <si>
    <t>Investment</t>
  </si>
  <si>
    <t>P=$12</t>
  </si>
  <si>
    <t>P=$12.5</t>
  </si>
  <si>
    <t>P=$13</t>
  </si>
  <si>
    <t>GEMS</t>
  </si>
  <si>
    <t>TICKETS</t>
  </si>
  <si>
    <t>I=P(3.4)</t>
  </si>
  <si>
    <t>I=P(3.5)</t>
  </si>
  <si>
    <t>I=P(3.6)</t>
  </si>
  <si>
    <t>I=P(3.7)</t>
  </si>
  <si>
    <t>I=P(3.8)</t>
  </si>
  <si>
    <t>BPI</t>
  </si>
  <si>
    <t>Nitro</t>
  </si>
  <si>
    <t>3rd, 10:30 PM</t>
  </si>
  <si>
    <t>1st, 12:00 AM</t>
  </si>
  <si>
    <t>20th, 10:30 PM</t>
  </si>
  <si>
    <t>16th, 6:00 PM</t>
  </si>
  <si>
    <t>Date</t>
  </si>
  <si>
    <t>Balance left</t>
  </si>
  <si>
    <t>1st of the Month</t>
  </si>
  <si>
    <t>3rd of the Month</t>
  </si>
  <si>
    <t>16th of the Month</t>
  </si>
  <si>
    <t>20th of the Month</t>
  </si>
  <si>
    <t>Wifi</t>
  </si>
  <si>
    <t>SPayLater</t>
  </si>
  <si>
    <t>30th, 12:00 AM</t>
  </si>
  <si>
    <t>Grocery</t>
  </si>
  <si>
    <t>Weekly (500 each)</t>
  </si>
  <si>
    <t>Electric Bill</t>
  </si>
  <si>
    <t>11th, 12:00 AM</t>
  </si>
  <si>
    <t>Netflix/DN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</si>
</sst>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[$₱-3409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74999237037263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/>
      <right style="medium">
        <color rgb="FF505050"/>
      </right>
      <top/>
      <bottom/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 style="medium">
        <color rgb="FF505050"/>
      </left>
      <right/>
      <top/>
      <bottom style="medium">
        <color rgb="FF50505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Alignment="1">
      <alignment horizontal="center" wrapText="1"/>
    </xf>
    <xf numFmtId="0" fontId="0" fillId="12" borderId="0" xfId="0" applyFill="1"/>
    <xf numFmtId="0" fontId="1" fillId="12" borderId="0" xfId="0" applyFont="1" applyFill="1" applyAlignment="1">
      <alignment wrapText="1"/>
    </xf>
    <xf numFmtId="2" fontId="0" fillId="0" borderId="0" xfId="0" applyNumberFormat="1"/>
    <xf numFmtId="0" fontId="0" fillId="7" borderId="3" xfId="0" applyFill="1" applyBorder="1" applyAlignment="1">
      <alignment horizontal="center" wrapText="1"/>
    </xf>
    <xf numFmtId="165" fontId="0" fillId="0" borderId="0" xfId="0" applyNumberFormat="1"/>
    <xf numFmtId="0" fontId="0" fillId="14" borderId="1" xfId="0" applyFill="1" applyBorder="1" applyAlignment="1">
      <alignment horizontal="center" wrapText="1"/>
    </xf>
    <xf numFmtId="0" fontId="0" fillId="15" borderId="6" xfId="0" applyFill="1" applyBorder="1" applyAlignment="1">
      <alignment horizontal="center" wrapText="1"/>
    </xf>
    <xf numFmtId="0" fontId="0" fillId="15" borderId="1" xfId="0" applyFill="1" applyBorder="1" applyAlignment="1">
      <alignment horizontal="center" wrapText="1"/>
    </xf>
    <xf numFmtId="0" fontId="0" fillId="15" borderId="11" xfId="0" applyFill="1" applyBorder="1" applyAlignment="1">
      <alignment horizontal="center" wrapText="1"/>
    </xf>
    <xf numFmtId="0" fontId="0" fillId="15" borderId="2" xfId="0" applyFill="1" applyBorder="1" applyAlignment="1">
      <alignment horizontal="center" wrapText="1"/>
    </xf>
    <xf numFmtId="165" fontId="0" fillId="0" borderId="12" xfId="0" applyNumberFormat="1" applyBorder="1" applyAlignment="1">
      <alignment horizontal="center" wrapText="1"/>
    </xf>
    <xf numFmtId="165" fontId="0" fillId="0" borderId="13" xfId="0" applyNumberFormat="1" applyBorder="1" applyAlignment="1">
      <alignment horizontal="center" wrapText="1"/>
    </xf>
    <xf numFmtId="165" fontId="0" fillId="0" borderId="16" xfId="0" applyNumberFormat="1" applyBorder="1" applyAlignment="1">
      <alignment horizontal="center" wrapText="1"/>
    </xf>
    <xf numFmtId="165" fontId="0" fillId="0" borderId="17" xfId="0" applyNumberFormat="1" applyBorder="1" applyAlignment="1">
      <alignment horizontal="center" wrapText="1"/>
    </xf>
    <xf numFmtId="165" fontId="0" fillId="0" borderId="18" xfId="0" applyNumberFormat="1" applyBorder="1" applyAlignment="1">
      <alignment horizontal="center" wrapText="1"/>
    </xf>
    <xf numFmtId="165" fontId="0" fillId="0" borderId="19" xfId="0" applyNumberFormat="1" applyBorder="1" applyAlignment="1">
      <alignment horizontal="center" wrapText="1"/>
    </xf>
    <xf numFmtId="165" fontId="0" fillId="0" borderId="20" xfId="0" applyNumberFormat="1" applyBorder="1" applyAlignment="1">
      <alignment horizontal="center" wrapText="1"/>
    </xf>
    <xf numFmtId="165" fontId="0" fillId="0" borderId="21" xfId="0" applyNumberFormat="1" applyBorder="1" applyAlignment="1">
      <alignment horizontal="center" wrapText="1"/>
    </xf>
    <xf numFmtId="164" fontId="0" fillId="0" borderId="16" xfId="0" applyNumberFormat="1" applyBorder="1" applyAlignment="1">
      <alignment horizontal="center" wrapText="1"/>
    </xf>
    <xf numFmtId="165" fontId="0" fillId="0" borderId="22" xfId="0" applyNumberFormat="1" applyBorder="1" applyAlignment="1">
      <alignment horizontal="center" wrapText="1"/>
    </xf>
    <xf numFmtId="165" fontId="0" fillId="0" borderId="23" xfId="0" applyNumberFormat="1" applyBorder="1" applyAlignment="1">
      <alignment horizontal="center" wrapText="1"/>
    </xf>
    <xf numFmtId="165" fontId="0" fillId="0" borderId="24" xfId="0" applyNumberFormat="1" applyBorder="1" applyAlignment="1">
      <alignment horizontal="center" wrapText="1"/>
    </xf>
    <xf numFmtId="0" fontId="0" fillId="7" borderId="4" xfId="0" applyFill="1" applyBorder="1" applyAlignment="1">
      <alignment horizontal="center" wrapText="1"/>
    </xf>
    <xf numFmtId="165" fontId="0" fillId="0" borderId="25" xfId="0" applyNumberFormat="1" applyBorder="1" applyAlignment="1">
      <alignment horizontal="center" wrapText="1"/>
    </xf>
    <xf numFmtId="164" fontId="0" fillId="0" borderId="20" xfId="0" applyNumberFormat="1" applyBorder="1" applyAlignment="1">
      <alignment horizontal="center" wrapText="1"/>
    </xf>
    <xf numFmtId="165" fontId="0" fillId="0" borderId="26" xfId="0" applyNumberFormat="1" applyBorder="1" applyAlignment="1">
      <alignment horizontal="center" wrapText="1"/>
    </xf>
    <xf numFmtId="164" fontId="0" fillId="0" borderId="25" xfId="0" applyNumberFormat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165" fontId="0" fillId="0" borderId="14" xfId="0" applyNumberFormat="1" applyBorder="1"/>
    <xf numFmtId="165" fontId="0" fillId="0" borderId="15" xfId="0" applyNumberFormat="1" applyBorder="1"/>
    <xf numFmtId="165" fontId="0" fillId="3" borderId="7" xfId="0" applyNumberFormat="1" applyFill="1" applyBorder="1"/>
    <xf numFmtId="165" fontId="0" fillId="3" borderId="5" xfId="0" applyNumberFormat="1" applyFill="1" applyBorder="1"/>
    <xf numFmtId="165" fontId="0" fillId="5" borderId="7" xfId="0" applyNumberFormat="1" applyFill="1" applyBorder="1"/>
    <xf numFmtId="165" fontId="0" fillId="5" borderId="4" xfId="0" applyNumberFormat="1" applyFill="1" applyBorder="1"/>
    <xf numFmtId="165" fontId="0" fillId="6" borderId="7" xfId="0" applyNumberFormat="1" applyFill="1" applyBorder="1"/>
    <xf numFmtId="165" fontId="0" fillId="6" borderId="6" xfId="0" applyNumberFormat="1" applyFill="1" applyBorder="1"/>
    <xf numFmtId="165" fontId="0" fillId="9" borderId="6" xfId="0" applyNumberFormat="1" applyFill="1" applyBorder="1"/>
    <xf numFmtId="165" fontId="0" fillId="9" borderId="10" xfId="0" applyNumberFormat="1" applyFill="1" applyBorder="1"/>
    <xf numFmtId="165" fontId="0" fillId="0" borderId="3" xfId="0" applyNumberFormat="1" applyBorder="1"/>
    <xf numFmtId="165" fontId="0" fillId="0" borderId="6" xfId="0" applyNumberFormat="1" applyBorder="1"/>
    <xf numFmtId="165" fontId="0" fillId="0" borderId="4" xfId="0" applyNumberFormat="1" applyBorder="1"/>
    <xf numFmtId="165" fontId="0" fillId="0" borderId="9" xfId="0" applyNumberFormat="1" applyBorder="1"/>
    <xf numFmtId="165" fontId="0" fillId="6" borderId="1" xfId="0" applyNumberFormat="1" applyFill="1" applyBorder="1"/>
    <xf numFmtId="165" fontId="0" fillId="10" borderId="4" xfId="0" applyNumberFormat="1" applyFill="1" applyBorder="1"/>
    <xf numFmtId="165" fontId="0" fillId="8" borderId="3" xfId="0" applyNumberFormat="1" applyFill="1" applyBorder="1"/>
    <xf numFmtId="165" fontId="0" fillId="8" borderId="4" xfId="0" applyNumberFormat="1" applyFill="1" applyBorder="1"/>
    <xf numFmtId="165" fontId="0" fillId="11" borderId="3" xfId="0" applyNumberFormat="1" applyFill="1" applyBorder="1"/>
    <xf numFmtId="165" fontId="0" fillId="11" borderId="4" xfId="0" applyNumberFormat="1" applyFill="1" applyBorder="1"/>
    <xf numFmtId="165" fontId="0" fillId="4" borderId="7" xfId="0" applyNumberFormat="1" applyFill="1" applyBorder="1"/>
    <xf numFmtId="165" fontId="0" fillId="4" borderId="5" xfId="0" applyNumberFormat="1" applyFill="1" applyBorder="1"/>
    <xf numFmtId="165" fontId="0" fillId="8" borderId="6" xfId="0" applyNumberFormat="1" applyFill="1" applyBorder="1"/>
    <xf numFmtId="165" fontId="0" fillId="8" borderId="2" xfId="0" applyNumberFormat="1" applyFill="1" applyBorder="1"/>
    <xf numFmtId="165" fontId="0" fillId="16" borderId="3" xfId="0" applyNumberFormat="1" applyFill="1" applyBorder="1"/>
    <xf numFmtId="165" fontId="0" fillId="16" borderId="4" xfId="0" applyNumberFormat="1" applyFill="1" applyBorder="1"/>
    <xf numFmtId="0" fontId="1" fillId="2" borderId="0" xfId="0" applyFont="1" applyFill="1" applyAlignment="1">
      <alignment horizontal="center" wrapText="1"/>
    </xf>
    <xf numFmtId="165" fontId="0" fillId="3" borderId="0" xfId="0" applyNumberFormat="1" applyFill="1"/>
    <xf numFmtId="165" fontId="0" fillId="8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5" fontId="0" fillId="6" borderId="0" xfId="0" applyNumberFormat="1" applyFill="1"/>
    <xf numFmtId="165" fontId="0" fillId="9" borderId="0" xfId="0" applyNumberFormat="1" applyFill="1"/>
    <xf numFmtId="165" fontId="1" fillId="2" borderId="0" xfId="0" applyNumberFormat="1" applyFont="1" applyFill="1" applyAlignment="1">
      <alignment horizontal="center" wrapText="1"/>
    </xf>
    <xf numFmtId="165" fontId="0" fillId="10" borderId="7" xfId="0" applyNumberFormat="1" applyFill="1" applyBorder="1"/>
    <xf numFmtId="165" fontId="0" fillId="10" borderId="0" xfId="0" applyNumberFormat="1" applyFill="1"/>
    <xf numFmtId="165" fontId="0" fillId="16" borderId="0" xfId="0" applyNumberFormat="1" applyFill="1"/>
    <xf numFmtId="165" fontId="0" fillId="11" borderId="0" xfId="0" applyNumberFormat="1" applyFill="1"/>
    <xf numFmtId="165" fontId="0" fillId="6" borderId="0" xfId="0" applyNumberFormat="1" applyFill="1" applyAlignment="1">
      <alignment horizontal="center"/>
    </xf>
    <xf numFmtId="165" fontId="0" fillId="9" borderId="27" xfId="0" applyNumberFormat="1" applyFill="1" applyBorder="1"/>
    <xf numFmtId="165" fontId="0" fillId="8" borderId="1" xfId="0" applyNumberFormat="1" applyFill="1" applyBorder="1" applyAlignment="1">
      <alignment horizontal="center" wrapText="1"/>
    </xf>
    <xf numFmtId="165" fontId="0" fillId="8" borderId="4" xfId="0" applyNumberFormat="1" applyFill="1" applyBorder="1" applyAlignment="1">
      <alignment horizontal="center" wrapText="1"/>
    </xf>
    <xf numFmtId="165" fontId="0" fillId="4" borderId="4" xfId="0" applyNumberFormat="1" applyFill="1" applyBorder="1"/>
    <xf numFmtId="165" fontId="0" fillId="5" borderId="3" xfId="0" applyNumberFormat="1" applyFill="1" applyBorder="1"/>
    <xf numFmtId="165" fontId="0" fillId="6" borderId="4" xfId="0" applyNumberFormat="1" applyFill="1" applyBorder="1"/>
    <xf numFmtId="165" fontId="0" fillId="0" borderId="0" xfId="0" applyNumberFormat="1" applyAlignment="1">
      <alignment horizontal="right"/>
    </xf>
    <xf numFmtId="165" fontId="0" fillId="0" borderId="0" xfId="0" applyNumberFormat="1" applyAlignment="1">
      <alignment horizontal="center" wrapText="1"/>
    </xf>
    <xf numFmtId="165" fontId="0" fillId="17" borderId="3" xfId="0" applyNumberFormat="1" applyFill="1" applyBorder="1"/>
    <xf numFmtId="165" fontId="0" fillId="17" borderId="4" xfId="0" applyNumberFormat="1" applyFill="1" applyBorder="1"/>
    <xf numFmtId="165" fontId="0" fillId="18" borderId="3" xfId="0" applyNumberFormat="1" applyFill="1" applyBorder="1"/>
    <xf numFmtId="165" fontId="0" fillId="18" borderId="4" xfId="0" applyNumberFormat="1" applyFill="1" applyBorder="1"/>
    <xf numFmtId="165" fontId="0" fillId="6" borderId="1" xfId="0" applyNumberFormat="1" applyFill="1" applyBorder="1" applyAlignment="1">
      <alignment horizontal="center"/>
    </xf>
    <xf numFmtId="165" fontId="0" fillId="6" borderId="2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65" fontId="1" fillId="2" borderId="1" xfId="0" applyNumberFormat="1" applyFont="1" applyFill="1" applyBorder="1" applyAlignment="1">
      <alignment horizontal="center" wrapText="1"/>
    </xf>
    <xf numFmtId="165" fontId="1" fillId="2" borderId="2" xfId="0" applyNumberFormat="1" applyFont="1" applyFill="1" applyBorder="1" applyAlignment="1">
      <alignment horizontal="center" wrapText="1"/>
    </xf>
    <xf numFmtId="0" fontId="1" fillId="13" borderId="3" xfId="0" applyFont="1" applyFill="1" applyBorder="1" applyAlignment="1">
      <alignment horizontal="center" wrapText="1"/>
    </xf>
    <xf numFmtId="0" fontId="1" fillId="13" borderId="8" xfId="0" applyFont="1" applyFill="1" applyBorder="1" applyAlignment="1">
      <alignment horizontal="center" wrapText="1"/>
    </xf>
    <xf numFmtId="165" fontId="1" fillId="2" borderId="1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669C-5985-CF4B-B2DE-AC63E3E9BF67}">
  <dimension ref="B1:N30"/>
  <sheetViews>
    <sheetView tabSelected="1" zoomScaleNormal="100" zoomScaleSheetLayoutView="100" workbookViewId="0">
      <selection activeCell="E16" sqref="E16"/>
    </sheetView>
  </sheetViews>
  <sheetFormatPr defaultRowHeight="15" x14ac:dyDescent="0.25"/>
  <cols>
    <col min="2" max="2" width="10.140625" customWidth="1"/>
    <col min="3" max="3" width="15" customWidth="1"/>
    <col min="4" max="4" width="19" customWidth="1"/>
    <col min="5" max="5" width="16" customWidth="1"/>
    <col min="6" max="6" width="13.28515625" customWidth="1"/>
    <col min="9" max="9" width="10.42578125" customWidth="1"/>
    <col min="10" max="10" width="12.140625" customWidth="1"/>
  </cols>
  <sheetData>
    <row r="1" spans="2:14" ht="15.75" thickBot="1" x14ac:dyDescent="0.3"/>
    <row r="2" spans="2:14" ht="15.75" customHeight="1" thickBot="1" x14ac:dyDescent="0.3">
      <c r="B2" s="84" t="s">
        <v>0</v>
      </c>
      <c r="C2" s="85"/>
      <c r="D2" s="57"/>
      <c r="E2" s="91" t="s">
        <v>2</v>
      </c>
      <c r="F2" s="92"/>
      <c r="G2" s="3"/>
      <c r="H2" s="88" t="s">
        <v>11</v>
      </c>
      <c r="I2" s="89"/>
      <c r="J2" s="1"/>
      <c r="K2" s="1"/>
      <c r="L2" s="1"/>
      <c r="M2" s="1"/>
      <c r="N2" s="1"/>
    </row>
    <row r="3" spans="2:14" ht="15.75" thickBot="1" x14ac:dyDescent="0.3">
      <c r="B3" s="33" t="s">
        <v>1</v>
      </c>
      <c r="C3" s="34">
        <v>0</v>
      </c>
      <c r="D3" s="58"/>
      <c r="E3" s="93">
        <f>C5</f>
        <v>190.96</v>
      </c>
      <c r="F3" s="94"/>
      <c r="H3" s="5" t="s">
        <v>20</v>
      </c>
      <c r="I3" s="24"/>
    </row>
    <row r="4" spans="2:14" ht="15.75" thickBot="1" x14ac:dyDescent="0.3">
      <c r="B4" s="53" t="s">
        <v>26</v>
      </c>
      <c r="C4" s="54">
        <v>15386.44</v>
      </c>
      <c r="D4" s="59"/>
      <c r="E4" s="71" t="s">
        <v>32</v>
      </c>
      <c r="F4" s="72" t="s">
        <v>33</v>
      </c>
      <c r="H4" s="5"/>
      <c r="I4" s="5"/>
    </row>
    <row r="5" spans="2:14" ht="14.25" customHeight="1" thickBot="1" x14ac:dyDescent="0.3">
      <c r="B5" s="51" t="s">
        <v>2</v>
      </c>
      <c r="C5" s="52">
        <v>190.96</v>
      </c>
      <c r="D5" s="60"/>
      <c r="E5" s="51" t="s">
        <v>34</v>
      </c>
      <c r="F5" s="73">
        <f>E3-C18</f>
        <v>-129.04</v>
      </c>
      <c r="H5" s="7" t="s">
        <v>12</v>
      </c>
      <c r="I5" s="9" t="s">
        <v>15</v>
      </c>
      <c r="J5" s="9" t="s">
        <v>16</v>
      </c>
      <c r="K5" s="8" t="s">
        <v>17</v>
      </c>
      <c r="L5" s="11" t="s">
        <v>18</v>
      </c>
    </row>
    <row r="6" spans="2:14" ht="15.75" thickBot="1" x14ac:dyDescent="0.3">
      <c r="B6" s="35" t="s">
        <v>3</v>
      </c>
      <c r="C6" s="36">
        <v>0</v>
      </c>
      <c r="D6" s="61"/>
      <c r="E6" s="74" t="s">
        <v>35</v>
      </c>
      <c r="F6" s="36">
        <f>E3-C17</f>
        <v>40.960000000000008</v>
      </c>
      <c r="H6" s="18">
        <v>3.4</v>
      </c>
      <c r="I6" s="19">
        <f>I3*H6</f>
        <v>0</v>
      </c>
      <c r="J6" s="21">
        <f>I12-I6</f>
        <v>0</v>
      </c>
      <c r="K6" s="13">
        <f>I13-I6</f>
        <v>0</v>
      </c>
      <c r="L6" s="19">
        <f>I14-I6</f>
        <v>0</v>
      </c>
    </row>
    <row r="7" spans="2:14" ht="15.75" thickBot="1" x14ac:dyDescent="0.3">
      <c r="B7" s="37" t="s">
        <v>4</v>
      </c>
      <c r="C7" s="38">
        <f>SUM(C3, C4, C5, C6)</f>
        <v>15577.4</v>
      </c>
      <c r="D7" s="62"/>
      <c r="E7" s="45" t="s">
        <v>36</v>
      </c>
      <c r="F7" s="75">
        <f>E3-C16</f>
        <v>150.96</v>
      </c>
      <c r="H7" s="14">
        <v>3.5</v>
      </c>
      <c r="I7" s="15">
        <f>I3*H7</f>
        <v>0</v>
      </c>
      <c r="J7" s="22">
        <f>I12-I7</f>
        <v>0</v>
      </c>
      <c r="K7" s="12">
        <f>I13-I7</f>
        <v>0</v>
      </c>
      <c r="L7" s="15">
        <f>I14-I7</f>
        <v>0</v>
      </c>
    </row>
    <row r="8" spans="2:14" ht="16.5" customHeight="1" thickBot="1" x14ac:dyDescent="0.3">
      <c r="B8" s="39" t="s">
        <v>10</v>
      </c>
      <c r="C8" s="40">
        <f>C7-C23</f>
        <v>10340.439999999999</v>
      </c>
      <c r="D8" s="63"/>
      <c r="E8" s="70" t="s">
        <v>37</v>
      </c>
      <c r="F8" s="39">
        <f>E3-C22</f>
        <v>-1434.04</v>
      </c>
      <c r="G8" s="2"/>
      <c r="H8" s="14">
        <v>3.6</v>
      </c>
      <c r="I8" s="15">
        <f>I3*H8</f>
        <v>0</v>
      </c>
      <c r="J8" s="22">
        <f>I12-I8</f>
        <v>0</v>
      </c>
      <c r="K8" s="12">
        <f>I13-I8</f>
        <v>0</v>
      </c>
      <c r="L8" s="15">
        <f>I14-I8</f>
        <v>0</v>
      </c>
    </row>
    <row r="9" spans="2:14" ht="15.75" thickBot="1" x14ac:dyDescent="0.3">
      <c r="B9" s="6"/>
      <c r="C9" s="6"/>
      <c r="D9" s="6"/>
      <c r="E9" s="6"/>
      <c r="F9" s="6"/>
      <c r="H9" s="14">
        <v>3.7</v>
      </c>
      <c r="I9" s="15">
        <f>I3*H9</f>
        <v>0</v>
      </c>
      <c r="J9" s="22">
        <f>I12-I8</f>
        <v>0</v>
      </c>
      <c r="K9" s="12">
        <f>I13-I9</f>
        <v>0</v>
      </c>
      <c r="L9" s="15">
        <f>I14-I9</f>
        <v>0</v>
      </c>
    </row>
    <row r="10" spans="2:14" ht="15.75" thickBot="1" x14ac:dyDescent="0.3">
      <c r="B10" s="86" t="s">
        <v>5</v>
      </c>
      <c r="C10" s="87"/>
      <c r="D10" s="64"/>
      <c r="E10" s="64"/>
      <c r="F10" s="64"/>
      <c r="H10" s="25">
        <v>3.8</v>
      </c>
      <c r="I10" s="27">
        <f>I3*H10</f>
        <v>0</v>
      </c>
      <c r="J10" s="23">
        <f>I12-I10</f>
        <v>0</v>
      </c>
      <c r="K10" s="16">
        <f>I13-I10</f>
        <v>0</v>
      </c>
      <c r="L10" s="17">
        <f>I14-I10</f>
        <v>0</v>
      </c>
    </row>
    <row r="11" spans="2:14" ht="15.75" thickBot="1" x14ac:dyDescent="0.3">
      <c r="B11" s="41" t="s">
        <v>6</v>
      </c>
      <c r="C11" s="42">
        <v>17000</v>
      </c>
      <c r="D11" s="6"/>
      <c r="E11" s="6"/>
      <c r="F11" s="6"/>
      <c r="H11" s="9" t="s">
        <v>13</v>
      </c>
      <c r="I11" s="8" t="s">
        <v>14</v>
      </c>
      <c r="J11" s="1"/>
    </row>
    <row r="12" spans="2:14" ht="15.75" thickBot="1" x14ac:dyDescent="0.3">
      <c r="B12" s="43" t="s">
        <v>7</v>
      </c>
      <c r="C12" s="44"/>
      <c r="D12" s="6"/>
      <c r="E12" s="6"/>
      <c r="F12" s="6"/>
      <c r="H12" s="26">
        <v>12</v>
      </c>
      <c r="I12" s="19">
        <f>I3/H12*55</f>
        <v>0</v>
      </c>
      <c r="J12" s="1"/>
    </row>
    <row r="13" spans="2:14" ht="15.75" thickBot="1" x14ac:dyDescent="0.3">
      <c r="B13" s="45" t="s">
        <v>4</v>
      </c>
      <c r="C13" s="38">
        <f>C11+C12-C23</f>
        <v>11763.04</v>
      </c>
      <c r="D13" s="62"/>
      <c r="E13" s="62"/>
      <c r="F13" s="62"/>
      <c r="H13" s="20">
        <v>12.5</v>
      </c>
      <c r="I13" s="15">
        <f>I3/H13*55</f>
        <v>0</v>
      </c>
      <c r="J13" s="4"/>
    </row>
    <row r="14" spans="2:14" ht="15.75" thickBot="1" x14ac:dyDescent="0.3">
      <c r="B14" s="6"/>
      <c r="C14" s="6"/>
      <c r="D14" s="6"/>
      <c r="E14" s="6"/>
      <c r="F14" s="6"/>
      <c r="H14" s="28">
        <v>13</v>
      </c>
      <c r="I14" s="27">
        <f>I3/H14*55</f>
        <v>0</v>
      </c>
      <c r="J14" s="4"/>
    </row>
    <row r="15" spans="2:14" ht="15.75" customHeight="1" thickBot="1" x14ac:dyDescent="0.3">
      <c r="B15" s="86" t="s">
        <v>9</v>
      </c>
      <c r="C15" s="90"/>
      <c r="D15" s="87"/>
      <c r="E15" s="64"/>
      <c r="F15" s="64"/>
      <c r="H15" s="8" t="s">
        <v>19</v>
      </c>
      <c r="I15" s="10">
        <f>I3*20.5</f>
        <v>0</v>
      </c>
      <c r="J15" s="9" t="s">
        <v>21</v>
      </c>
      <c r="K15" s="8" t="s">
        <v>22</v>
      </c>
      <c r="L15" s="10" t="s">
        <v>23</v>
      </c>
      <c r="M15" s="8" t="s">
        <v>24</v>
      </c>
      <c r="N15" s="11" t="s">
        <v>25</v>
      </c>
    </row>
    <row r="16" spans="2:14" ht="15.75" thickBot="1" x14ac:dyDescent="0.3">
      <c r="B16" s="65" t="s">
        <v>8</v>
      </c>
      <c r="C16" s="65">
        <v>40</v>
      </c>
      <c r="D16" s="46" t="s">
        <v>31</v>
      </c>
      <c r="E16" s="66"/>
      <c r="F16" s="66"/>
      <c r="H16" s="30">
        <v>215</v>
      </c>
      <c r="I16" s="31">
        <f>I15/H16*55</f>
        <v>0</v>
      </c>
      <c r="J16" s="13">
        <f>I16-I6</f>
        <v>0</v>
      </c>
      <c r="K16" s="13">
        <f>I16-I7</f>
        <v>0</v>
      </c>
      <c r="L16" s="13">
        <f>I16-I8</f>
        <v>0</v>
      </c>
      <c r="M16" s="13">
        <f>I16-I9</f>
        <v>0</v>
      </c>
      <c r="N16" s="13">
        <f>I16-I10</f>
        <v>0</v>
      </c>
    </row>
    <row r="17" spans="2:14" ht="15.75" thickBot="1" x14ac:dyDescent="0.3">
      <c r="B17" s="55" t="s">
        <v>27</v>
      </c>
      <c r="C17" s="55">
        <v>150</v>
      </c>
      <c r="D17" s="56" t="s">
        <v>28</v>
      </c>
      <c r="E17" s="67"/>
      <c r="F17" s="67"/>
      <c r="H17" s="30"/>
      <c r="I17" s="31"/>
      <c r="J17" s="13"/>
      <c r="K17" s="13"/>
      <c r="L17" s="13"/>
      <c r="M17" s="13"/>
      <c r="N17" s="13"/>
    </row>
    <row r="18" spans="2:14" ht="15.75" thickBot="1" x14ac:dyDescent="0.3">
      <c r="B18" s="47" t="s">
        <v>45</v>
      </c>
      <c r="C18" s="47">
        <v>320</v>
      </c>
      <c r="D18" s="48" t="s">
        <v>29</v>
      </c>
      <c r="E18" s="59"/>
      <c r="F18" s="59"/>
      <c r="H18" s="29">
        <v>230</v>
      </c>
      <c r="I18" s="32">
        <f>I15/H18*55</f>
        <v>0</v>
      </c>
      <c r="J18" s="12">
        <f>I18-I6</f>
        <v>0</v>
      </c>
      <c r="K18" s="12">
        <f>I18-I7</f>
        <v>0</v>
      </c>
      <c r="L18" s="12">
        <f>I18-I8</f>
        <v>0</v>
      </c>
      <c r="M18" s="12">
        <f>I18-I9</f>
        <v>0</v>
      </c>
      <c r="N18" s="12">
        <f>I18-I10</f>
        <v>0</v>
      </c>
    </row>
    <row r="19" spans="2:14" ht="15.75" thickBot="1" x14ac:dyDescent="0.3">
      <c r="B19" s="74" t="s">
        <v>43</v>
      </c>
      <c r="C19" s="74">
        <v>300</v>
      </c>
      <c r="D19" s="36" t="s">
        <v>44</v>
      </c>
      <c r="E19" s="59"/>
      <c r="F19" s="59"/>
      <c r="H19" s="1"/>
      <c r="I19" s="6"/>
      <c r="J19" s="77"/>
      <c r="K19" s="77"/>
      <c r="L19" s="77"/>
      <c r="M19" s="77"/>
      <c r="N19" s="77"/>
    </row>
    <row r="20" spans="2:14" ht="15.75" thickBot="1" x14ac:dyDescent="0.3">
      <c r="B20" s="80" t="s">
        <v>41</v>
      </c>
      <c r="C20" s="80">
        <v>2000</v>
      </c>
      <c r="D20" s="81" t="s">
        <v>42</v>
      </c>
      <c r="E20" s="59"/>
      <c r="F20" s="59"/>
      <c r="H20" s="1"/>
      <c r="I20" s="6"/>
      <c r="J20" s="77"/>
      <c r="K20" s="77"/>
      <c r="L20" s="77"/>
      <c r="M20" s="77"/>
      <c r="N20" s="77"/>
    </row>
    <row r="21" spans="2:14" ht="15.75" thickBot="1" x14ac:dyDescent="0.3">
      <c r="B21" s="78" t="s">
        <v>39</v>
      </c>
      <c r="C21" s="78">
        <v>801.96</v>
      </c>
      <c r="D21" s="79" t="s">
        <v>40</v>
      </c>
      <c r="E21" s="59"/>
      <c r="F21" s="59"/>
      <c r="H21" s="1"/>
      <c r="I21" s="6"/>
      <c r="J21" s="77"/>
      <c r="K21" s="77"/>
      <c r="L21" s="77"/>
      <c r="M21" s="77"/>
      <c r="N21" s="77"/>
    </row>
    <row r="22" spans="2:14" ht="15.75" thickBot="1" x14ac:dyDescent="0.3">
      <c r="B22" s="49" t="s">
        <v>38</v>
      </c>
      <c r="C22" s="49">
        <v>1625</v>
      </c>
      <c r="D22" s="50" t="s">
        <v>30</v>
      </c>
      <c r="E22" s="68"/>
      <c r="F22" s="68"/>
    </row>
    <row r="23" spans="2:14" ht="15.75" thickBot="1" x14ac:dyDescent="0.3">
      <c r="B23" s="45" t="s">
        <v>4</v>
      </c>
      <c r="C23" s="82">
        <f>SUM(C16, C17,C18, C19, C20,C21, C22)</f>
        <v>5236.96</v>
      </c>
      <c r="D23" s="83"/>
      <c r="E23" s="69"/>
      <c r="F23" s="69"/>
    </row>
    <row r="26" spans="2:14" x14ac:dyDescent="0.25">
      <c r="C26" s="6"/>
    </row>
    <row r="27" spans="2:14" x14ac:dyDescent="0.25">
      <c r="C27" s="6"/>
    </row>
    <row r="28" spans="2:14" x14ac:dyDescent="0.25">
      <c r="C28" s="6"/>
    </row>
    <row r="29" spans="2:14" x14ac:dyDescent="0.25">
      <c r="C29" s="76"/>
    </row>
    <row r="30" spans="2:14" x14ac:dyDescent="0.25">
      <c r="C30" s="6"/>
    </row>
  </sheetData>
  <mergeCells count="7">
    <mergeCell ref="C23:D23"/>
    <mergeCell ref="B2:C2"/>
    <mergeCell ref="B10:C10"/>
    <mergeCell ref="H2:I2"/>
    <mergeCell ref="B15:D15"/>
    <mergeCell ref="E2:F2"/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Jerime Valencia</dc:creator>
  <cp:lastModifiedBy>Jerime Valencia</cp:lastModifiedBy>
  <dcterms:created xsi:type="dcterms:W3CDTF">2024-05-23T14:04:24Z</dcterms:created>
  <dcterms:modified xsi:type="dcterms:W3CDTF">2024-11-30T11:46:48Z</dcterms:modified>
</cp:coreProperties>
</file>